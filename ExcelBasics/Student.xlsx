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TYCS\DS\ExcelBasics\"/>
    </mc:Choice>
  </mc:AlternateContent>
  <xr:revisionPtr revIDLastSave="0" documentId="13_ncr:1_{DBE3AD4F-8528-446B-96C1-A852DAA76905}" xr6:coauthVersionLast="47" xr6:coauthVersionMax="47" xr10:uidLastSave="{00000000-0000-0000-0000-000000000000}"/>
  <bookViews>
    <workbookView xWindow="-96" yWindow="0" windowWidth="11712" windowHeight="12336" firstSheet="4" activeTab="5" xr2:uid="{657B381F-FBFC-4ACC-A378-763791E0E993}"/>
  </bookViews>
  <sheets>
    <sheet name="Sheet1" sheetId="1" r:id="rId1"/>
    <sheet name="Sheet2" sheetId="2" r:id="rId2"/>
    <sheet name="Sheet3" sheetId="3" r:id="rId3"/>
    <sheet name="Sheet4" sheetId="4" r:id="rId4"/>
    <sheet name="Scenario Summary" sheetId="7" r:id="rId5"/>
    <sheet name="Sheet5" sheetId="5" r:id="rId6"/>
  </sheets>
  <definedNames>
    <definedName name="per">Sheet5!$B$6</definedName>
    <definedName name="Total">Sheet5!$B$5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5" l="1"/>
  <c r="B6" i="5" s="1"/>
  <c r="D1" i="5" s="1"/>
  <c r="B2" i="2"/>
  <c r="G2" i="2"/>
  <c r="G3" i="2" s="1"/>
  <c r="H2" i="2"/>
  <c r="I2" i="2"/>
  <c r="J2" i="2"/>
  <c r="K2" i="2"/>
  <c r="K3" i="2" s="1"/>
  <c r="H3" i="2"/>
  <c r="I3" i="2"/>
  <c r="J3" i="2"/>
  <c r="F2" i="2"/>
  <c r="F3" i="2" s="1"/>
  <c r="C3" i="2"/>
  <c r="C4" i="2"/>
  <c r="C5" i="2"/>
  <c r="C6" i="2"/>
  <c r="C7" i="2"/>
  <c r="C2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<sst xmlns="http://schemas.openxmlformats.org/spreadsheetml/2006/main" count="77" uniqueCount="36">
  <si>
    <t>Pawan</t>
  </si>
  <si>
    <t>Akash</t>
  </si>
  <si>
    <t>Shantanu</t>
  </si>
  <si>
    <t>Ajay</t>
  </si>
  <si>
    <t>Vijay</t>
  </si>
  <si>
    <t>Karan</t>
  </si>
  <si>
    <t>Marks</t>
  </si>
  <si>
    <t>Student Name</t>
  </si>
  <si>
    <t>Roll No</t>
  </si>
  <si>
    <t>Sum of Roll No</t>
  </si>
  <si>
    <t>Row Labels</t>
  </si>
  <si>
    <t>Grand Total</t>
  </si>
  <si>
    <t>Sum of Marks</t>
  </si>
  <si>
    <t>Roll NO</t>
  </si>
  <si>
    <t>Grreater Marks</t>
  </si>
  <si>
    <t>Particulars</t>
  </si>
  <si>
    <t>External Marks</t>
  </si>
  <si>
    <t>Internal Marks</t>
  </si>
  <si>
    <t>Practical Marks</t>
  </si>
  <si>
    <t>Total Marks</t>
  </si>
  <si>
    <t>Percentage</t>
  </si>
  <si>
    <t>$B$2</t>
  </si>
  <si>
    <t>$B$3</t>
  </si>
  <si>
    <t>$B$4</t>
  </si>
  <si>
    <t>Avg performance</t>
  </si>
  <si>
    <t>Created by user on 04-09-2026</t>
  </si>
  <si>
    <t>Best Performance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</si>
  <si>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</si>
  <si>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</si>
  <si>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</si>
  <si>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</si>
  <si>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</si>
  <si>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</si>
  <si>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</si>
  <si>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</t>
  </si>
  <si>
    <t>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</si>
</sst>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175" fontId="0" fillId="0" borderId="0" xfId="0" applyNumberFormat="1"/>
  </cellXfs>
  <cellStyles count="1">
    <cellStyle name="Normal" xfId="0" builtinId="0"/>
  </cellStyles>
  <dxfs count="2"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Sheet3!$F$7</c:f>
              <c:strCache>
                <c:ptCount val="1"/>
                <c:pt idx="0">
                  <c:v>Sum of Roll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Sheet3!$E$8:$E$14</c:f>
              <c:strCache>
                <c:ptCount val="6"/>
                <c:pt idx="0">
                  <c:v>Ajay</c:v>
                </c:pt>
                <c:pt idx="1">
                  <c:v>Akash</c:v>
                </c:pt>
                <c:pt idx="2">
                  <c:v>Karan</c:v>
                </c:pt>
                <c:pt idx="3">
                  <c:v>Pawan</c:v>
                </c:pt>
                <c:pt idx="4">
                  <c:v>Shantanu</c:v>
                </c:pt>
                <c:pt idx="5">
                  <c:v>Vijay</c:v>
                </c:pt>
              </c:strCache>
            </c:strRef>
          </c:cat>
          <c:val>
            <c:numRef>
              <c:f>Sheet3!$F$8:$F$14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8-4633-B920-E810BA5E658E}"/>
            </c:ext>
          </c:extLst>
        </c:ser>
        <c:ser>
          <c:idx val="1"/>
          <c:order val="1"/>
          <c:tx>
            <c:strRef>
              <c:f>Sheet3!$G$7</c:f>
              <c:strCache>
                <c:ptCount val="1"/>
                <c:pt idx="0">
                  <c:v>Sum of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Sheet3!$E$8:$E$14</c:f>
              <c:strCache>
                <c:ptCount val="6"/>
                <c:pt idx="0">
                  <c:v>Ajay</c:v>
                </c:pt>
                <c:pt idx="1">
                  <c:v>Akash</c:v>
                </c:pt>
                <c:pt idx="2">
                  <c:v>Karan</c:v>
                </c:pt>
                <c:pt idx="3">
                  <c:v>Pawan</c:v>
                </c:pt>
                <c:pt idx="4">
                  <c:v>Shantanu</c:v>
                </c:pt>
                <c:pt idx="5">
                  <c:v>Vijay</c:v>
                </c:pt>
              </c:strCache>
            </c:strRef>
          </c:cat>
          <c:val>
            <c:numRef>
              <c:f>Sheet3!$G$8:$G$14</c:f>
              <c:numCache>
                <c:formatCode>General</c:formatCode>
                <c:ptCount val="6"/>
                <c:pt idx="0">
                  <c:v>90</c:v>
                </c:pt>
                <c:pt idx="1">
                  <c:v>80</c:v>
                </c:pt>
                <c:pt idx="2">
                  <c:v>100</c:v>
                </c:pt>
                <c:pt idx="3">
                  <c:v>75</c:v>
                </c:pt>
                <c:pt idx="4">
                  <c:v>85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8-4633-B920-E810BA5E6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6173471"/>
        <c:axId val="780813743"/>
        <c:axId val="0"/>
      </c:bar3DChart>
      <c:catAx>
        <c:axId val="71617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13743"/>
        <c:crosses val="autoZero"/>
        <c:auto val="1"/>
        <c:lblAlgn val="ctr"/>
        <c:lblOffset val="100"/>
        <c:noMultiLvlLbl val="0"/>
      </c:catAx>
      <c:valAx>
        <c:axId val="78081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7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1</xdr:row>
      <xdr:rowOff>179070</xdr:rowOff>
    </xdr:from>
    <xdr:to>
      <xdr:col>14</xdr:col>
      <xdr:colOff>548640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13942-3C21-4DAE-98CD-7C653CAD2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9.004939699073" createdVersion="8" refreshedVersion="8" minRefreshableVersion="3" recordCount="6" xr:uid="{8EECC21A-4FE8-4B30-A94D-88BA8B95BDC4}">
  <cacheSource type="worksheet">
    <worksheetSource ref="A1:C7" sheet="Sheet3"/>
  </cacheSource>
  <cacheFields count="3">
    <cacheField name="Roll No" numFmtId="0">
      <sharedItems containsSemiMixedTypes="0" containsString="0" containsNumber="1" containsInteger="1" minValue="1" maxValue="6"/>
    </cacheField>
    <cacheField name="Student Name" numFmtId="0">
      <sharedItems count="6">
        <s v="Karan"/>
        <s v="Vijay"/>
        <s v="Ajay"/>
        <s v="Shantanu"/>
        <s v="Akash"/>
        <s v="Pawan"/>
      </sharedItems>
    </cacheField>
    <cacheField name="Marks" numFmtId="0">
      <sharedItems containsSemiMixedTypes="0" containsString="0" containsNumber="1" containsInteger="1" minValue="7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n v="100"/>
  </r>
  <r>
    <n v="2"/>
    <x v="1"/>
    <n v="95"/>
  </r>
  <r>
    <n v="3"/>
    <x v="2"/>
    <n v="90"/>
  </r>
  <r>
    <n v="4"/>
    <x v="3"/>
    <n v="85"/>
  </r>
  <r>
    <n v="5"/>
    <x v="4"/>
    <n v="80"/>
  </r>
  <r>
    <n v="6"/>
    <x v="5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88F63-9F43-4A86-8AAE-CF4BFB3CFB7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7:G14" firstHeaderRow="0" firstDataRow="1" firstDataCol="1"/>
  <pivotFields count="3">
    <pivotField dataField="1" showAll="0"/>
    <pivotField axis="axisRow" showAll="0">
      <items count="7">
        <item x="2"/>
        <item x="4"/>
        <item x="0"/>
        <item x="5"/>
        <item x="3"/>
        <item x="1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oll No" fld="0" baseField="0" baseItem="0"/>
    <dataField name="Sum of Mark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929A-9FCD-4E5C-AE9E-3822B44E8F5F}">
  <dimension ref="A1:K7"/>
  <sheetViews>
    <sheetView workbookViewId="0">
      <selection sqref="A1:C7"/>
    </sheetView>
  </sheetViews>
  <sheetFormatPr defaultRowHeight="14.4" x14ac:dyDescent="0.3"/>
  <sheetData>
    <row r="1" spans="1:11" x14ac:dyDescent="0.3">
      <c r="A1" s="2" t="s">
        <v>8</v>
      </c>
      <c r="B1" s="3" t="s">
        <v>7</v>
      </c>
      <c r="C1" s="2" t="s">
        <v>6</v>
      </c>
      <c r="E1" s="2" t="s">
        <v>8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</row>
    <row r="2" spans="1:11" x14ac:dyDescent="0.3">
      <c r="A2" s="2">
        <v>1</v>
      </c>
      <c r="B2" s="3" t="s">
        <v>5</v>
      </c>
      <c r="C2" s="2">
        <v>100</v>
      </c>
      <c r="E2" s="3" t="s">
        <v>7</v>
      </c>
      <c r="F2" s="3" t="s">
        <v>5</v>
      </c>
      <c r="G2" s="3" t="s">
        <v>4</v>
      </c>
      <c r="H2" s="3" t="s">
        <v>3</v>
      </c>
      <c r="I2" s="3" t="s">
        <v>2</v>
      </c>
      <c r="J2" s="3" t="s">
        <v>1</v>
      </c>
      <c r="K2" s="3" t="s">
        <v>0</v>
      </c>
    </row>
    <row r="3" spans="1:11" x14ac:dyDescent="0.3">
      <c r="A3" s="2">
        <v>2</v>
      </c>
      <c r="B3" s="3" t="s">
        <v>4</v>
      </c>
      <c r="C3" s="2">
        <v>95</v>
      </c>
      <c r="E3" s="2" t="s">
        <v>6</v>
      </c>
      <c r="F3" s="2">
        <v>100</v>
      </c>
      <c r="G3" s="2">
        <v>95</v>
      </c>
      <c r="H3" s="2">
        <v>90</v>
      </c>
      <c r="I3" s="2">
        <v>85</v>
      </c>
      <c r="J3" s="2">
        <v>80</v>
      </c>
      <c r="K3" s="2">
        <v>75</v>
      </c>
    </row>
    <row r="4" spans="1:11" x14ac:dyDescent="0.3">
      <c r="A4" s="2">
        <v>3</v>
      </c>
      <c r="B4" s="3" t="s">
        <v>3</v>
      </c>
      <c r="C4" s="2">
        <v>90</v>
      </c>
    </row>
    <row r="5" spans="1:11" x14ac:dyDescent="0.3">
      <c r="A5" s="2">
        <v>4</v>
      </c>
      <c r="B5" s="3" t="s">
        <v>2</v>
      </c>
      <c r="C5" s="2">
        <v>85</v>
      </c>
    </row>
    <row r="6" spans="1:11" x14ac:dyDescent="0.3">
      <c r="A6" s="2">
        <v>5</v>
      </c>
      <c r="B6" s="3" t="s">
        <v>1</v>
      </c>
      <c r="C6" s="2">
        <v>80</v>
      </c>
    </row>
    <row r="7" spans="1:11" x14ac:dyDescent="0.3">
      <c r="A7" s="2">
        <v>6</v>
      </c>
      <c r="B7" s="3" t="s">
        <v>0</v>
      </c>
      <c r="C7" s="2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F6F7-C721-43C3-8EB5-6B5CD6727F06}">
  <dimension ref="A1:K7"/>
  <sheetViews>
    <sheetView workbookViewId="0">
      <selection activeCell="B2" sqref="B2"/>
    </sheetView>
  </sheetViews>
  <sheetFormatPr defaultRowHeight="14.4" x14ac:dyDescent="0.3"/>
  <sheetData>
    <row r="1" spans="1:11" x14ac:dyDescent="0.3">
      <c r="A1" t="s">
        <v>8</v>
      </c>
      <c r="B1" s="1" t="s">
        <v>7</v>
      </c>
      <c r="C1" t="s">
        <v>6</v>
      </c>
      <c r="E1" s="2" t="s">
        <v>8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</row>
    <row r="2" spans="1:11" x14ac:dyDescent="0.3">
      <c r="A2" s="2">
        <v>1</v>
      </c>
      <c r="B2" t="str">
        <f>VLOOKUP(A2,Sheet1!A1:C7,2,FALSE)</f>
        <v>Karan</v>
      </c>
      <c r="C2">
        <f>VLOOKUP(Sheet2!A2,Sheet1!A1:C7,3,FALSE)</f>
        <v>100</v>
      </c>
      <c r="E2" s="3" t="s">
        <v>7</v>
      </c>
      <c r="F2" t="str">
        <f>HLOOKUP(F1,Sheet1!E1:K3,2,FALSE)</f>
        <v>Karan</v>
      </c>
      <c r="G2" t="str">
        <f>HLOOKUP(G1,Sheet1!F1:L3,2,FALSE)</f>
        <v>Vijay</v>
      </c>
      <c r="H2" t="str">
        <f>HLOOKUP(H1,Sheet1!G1:M3,2,FALSE)</f>
        <v>Ajay</v>
      </c>
      <c r="I2" t="str">
        <f>HLOOKUP(I1,Sheet1!H1:N3,2,FALSE)</f>
        <v>Shantanu</v>
      </c>
      <c r="J2" t="str">
        <f>HLOOKUP(J1,Sheet1!I1:O3,2,FALSE)</f>
        <v>Akash</v>
      </c>
      <c r="K2" t="str">
        <f>HLOOKUP(K1,Sheet1!J1:P3,2,FALSE)</f>
        <v>Pawan</v>
      </c>
    </row>
    <row r="3" spans="1:11" x14ac:dyDescent="0.3">
      <c r="A3" s="2">
        <v>2</v>
      </c>
      <c r="B3" t="str">
        <f>VLOOKUP(A3,Sheet1!A2:C8,2,FALSE)</f>
        <v>Vijay</v>
      </c>
      <c r="C3">
        <f>VLOOKUP(Sheet2!A3,Sheet1!A2:C8,3,FALSE)</f>
        <v>95</v>
      </c>
      <c r="E3" s="2" t="s">
        <v>6</v>
      </c>
      <c r="F3">
        <f>HLOOKUP(F2,Sheet1!E2:K4,2,FALSE)</f>
        <v>100</v>
      </c>
      <c r="G3">
        <f>HLOOKUP(G2,Sheet1!F2:L4,2,FALSE)</f>
        <v>95</v>
      </c>
      <c r="H3">
        <f>HLOOKUP(H2,Sheet1!G2:M4,2,FALSE)</f>
        <v>90</v>
      </c>
      <c r="I3">
        <f>HLOOKUP(I2,Sheet1!H2:N4,2,FALSE)</f>
        <v>85</v>
      </c>
      <c r="J3">
        <f>HLOOKUP(J2,Sheet1!I2:O4,2,FALSE)</f>
        <v>80</v>
      </c>
      <c r="K3">
        <f>HLOOKUP(K2,Sheet1!J2:P4,2,FALSE)</f>
        <v>75</v>
      </c>
    </row>
    <row r="4" spans="1:11" x14ac:dyDescent="0.3">
      <c r="A4" s="2">
        <v>3</v>
      </c>
      <c r="B4" t="str">
        <f>VLOOKUP(A4,Sheet1!A3:C9,2,FALSE)</f>
        <v>Ajay</v>
      </c>
      <c r="C4">
        <f>VLOOKUP(Sheet2!A4,Sheet1!A3:C9,3,FALSE)</f>
        <v>90</v>
      </c>
    </row>
    <row r="5" spans="1:11" x14ac:dyDescent="0.3">
      <c r="A5" s="2">
        <v>4</v>
      </c>
      <c r="B5" t="str">
        <f>VLOOKUP(A5,Sheet1!A4:C10,2,FALSE)</f>
        <v>Shantanu</v>
      </c>
      <c r="C5">
        <f>VLOOKUP(Sheet2!A5,Sheet1!A4:C10,3,FALSE)</f>
        <v>85</v>
      </c>
    </row>
    <row r="6" spans="1:11" x14ac:dyDescent="0.3">
      <c r="A6" s="2">
        <v>5</v>
      </c>
      <c r="B6" t="str">
        <f>VLOOKUP(A6,Sheet1!A5:C11,2,FALSE)</f>
        <v>Akash</v>
      </c>
      <c r="C6">
        <f>VLOOKUP(Sheet2!A6,Sheet1!A5:C11,3,FALSE)</f>
        <v>80</v>
      </c>
    </row>
    <row r="7" spans="1:11" x14ac:dyDescent="0.3">
      <c r="A7" s="2">
        <v>6</v>
      </c>
      <c r="B7" t="str">
        <f>VLOOKUP(A7,Sheet1!A6:C12,2,FALSE)</f>
        <v>Pawan</v>
      </c>
      <c r="C7">
        <f>VLOOKUP(Sheet2!A7,Sheet1!A6:C12,3,FALSE)</f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D62B-C3E5-4110-B20F-5B91B6A0C5D7}">
  <dimension ref="A1:G14"/>
  <sheetViews>
    <sheetView workbookViewId="0">
      <selection sqref="A1:C7"/>
    </sheetView>
  </sheetViews>
  <sheetFormatPr defaultRowHeight="14.4" x14ac:dyDescent="0.3"/>
  <cols>
    <col min="5" max="5" width="12.44140625" bestFit="1" customWidth="1"/>
    <col min="6" max="6" width="12.88671875" bestFit="1" customWidth="1"/>
    <col min="7" max="7" width="12" bestFit="1" customWidth="1"/>
  </cols>
  <sheetData>
    <row r="1" spans="1:7" x14ac:dyDescent="0.3">
      <c r="A1" s="2" t="s">
        <v>8</v>
      </c>
      <c r="B1" s="3" t="s">
        <v>7</v>
      </c>
      <c r="C1" s="2" t="s">
        <v>6</v>
      </c>
      <c r="D1" s="7"/>
    </row>
    <row r="2" spans="1:7" x14ac:dyDescent="0.3">
      <c r="A2" s="2">
        <v>1</v>
      </c>
      <c r="B2" s="3" t="s">
        <v>5</v>
      </c>
      <c r="C2" s="2">
        <v>100</v>
      </c>
    </row>
    <row r="3" spans="1:7" x14ac:dyDescent="0.3">
      <c r="A3" s="2">
        <v>2</v>
      </c>
      <c r="B3" s="3" t="s">
        <v>4</v>
      </c>
      <c r="C3" s="2">
        <v>95</v>
      </c>
    </row>
    <row r="4" spans="1:7" x14ac:dyDescent="0.3">
      <c r="A4" s="2">
        <v>3</v>
      </c>
      <c r="B4" s="3" t="s">
        <v>3</v>
      </c>
      <c r="C4" s="2">
        <v>90</v>
      </c>
    </row>
    <row r="5" spans="1:7" x14ac:dyDescent="0.3">
      <c r="A5" s="2">
        <v>4</v>
      </c>
      <c r="B5" s="3" t="s">
        <v>2</v>
      </c>
      <c r="C5" s="2">
        <v>85</v>
      </c>
    </row>
    <row r="6" spans="1:7" x14ac:dyDescent="0.3">
      <c r="A6" s="2">
        <v>5</v>
      </c>
      <c r="B6" s="3" t="s">
        <v>1</v>
      </c>
      <c r="C6" s="2">
        <v>80</v>
      </c>
    </row>
    <row r="7" spans="1:7" x14ac:dyDescent="0.3">
      <c r="A7" s="2">
        <v>6</v>
      </c>
      <c r="B7" s="3" t="s">
        <v>0</v>
      </c>
      <c r="C7" s="2">
        <v>75</v>
      </c>
      <c r="E7" s="5" t="s">
        <v>10</v>
      </c>
      <c r="F7" t="s">
        <v>9</v>
      </c>
      <c r="G7" t="s">
        <v>12</v>
      </c>
    </row>
    <row r="8" spans="1:7" x14ac:dyDescent="0.3">
      <c r="E8" s="6" t="s">
        <v>3</v>
      </c>
      <c r="F8" s="4">
        <v>3</v>
      </c>
      <c r="G8" s="4">
        <v>90</v>
      </c>
    </row>
    <row r="9" spans="1:7" x14ac:dyDescent="0.3">
      <c r="E9" s="6" t="s">
        <v>1</v>
      </c>
      <c r="F9" s="4">
        <v>5</v>
      </c>
      <c r="G9" s="4">
        <v>80</v>
      </c>
    </row>
    <row r="10" spans="1:7" x14ac:dyDescent="0.3">
      <c r="E10" s="6" t="s">
        <v>5</v>
      </c>
      <c r="F10" s="4">
        <v>1</v>
      </c>
      <c r="G10" s="4">
        <v>100</v>
      </c>
    </row>
    <row r="11" spans="1:7" x14ac:dyDescent="0.3">
      <c r="E11" s="6" t="s">
        <v>0</v>
      </c>
      <c r="F11" s="4">
        <v>6</v>
      </c>
      <c r="G11" s="4">
        <v>75</v>
      </c>
    </row>
    <row r="12" spans="1:7" x14ac:dyDescent="0.3">
      <c r="E12" s="6" t="s">
        <v>2</v>
      </c>
      <c r="F12" s="4">
        <v>4</v>
      </c>
      <c r="G12" s="4">
        <v>85</v>
      </c>
    </row>
    <row r="13" spans="1:7" x14ac:dyDescent="0.3">
      <c r="E13" s="6" t="s">
        <v>4</v>
      </c>
      <c r="F13" s="4">
        <v>2</v>
      </c>
      <c r="G13" s="4">
        <v>95</v>
      </c>
    </row>
    <row r="14" spans="1:7" x14ac:dyDescent="0.3">
      <c r="E14" s="6" t="s">
        <v>11</v>
      </c>
      <c r="F14" s="4">
        <v>21</v>
      </c>
      <c r="G14" s="4">
        <v>525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4776-542A-46A2-8934-DB64CEE4F0D1}">
  <dimension ref="A1:F7"/>
  <sheetViews>
    <sheetView workbookViewId="0">
      <selection activeCell="G5" sqref="G5"/>
    </sheetView>
  </sheetViews>
  <sheetFormatPr defaultRowHeight="14.4" x14ac:dyDescent="0.3"/>
  <cols>
    <col min="7" max="7" width="13.6640625" customWidth="1"/>
  </cols>
  <sheetData>
    <row r="1" spans="1:6" x14ac:dyDescent="0.3">
      <c r="A1" s="2" t="s">
        <v>8</v>
      </c>
      <c r="B1" s="3" t="s">
        <v>7</v>
      </c>
      <c r="C1" s="2" t="s">
        <v>6</v>
      </c>
      <c r="E1" s="2" t="s">
        <v>13</v>
      </c>
      <c r="F1" s="6" t="s">
        <v>14</v>
      </c>
    </row>
    <row r="2" spans="1:6" x14ac:dyDescent="0.3">
      <c r="A2" s="2">
        <v>3</v>
      </c>
      <c r="B2" s="3" t="s">
        <v>3</v>
      </c>
      <c r="C2" s="2">
        <v>90</v>
      </c>
      <c r="E2" s="2">
        <v>5</v>
      </c>
      <c r="F2" s="2">
        <v>80</v>
      </c>
    </row>
    <row r="3" spans="1:6" x14ac:dyDescent="0.3">
      <c r="A3" s="2">
        <v>5</v>
      </c>
      <c r="B3" s="3" t="s">
        <v>1</v>
      </c>
      <c r="C3" s="2">
        <v>80</v>
      </c>
    </row>
    <row r="4" spans="1:6" x14ac:dyDescent="0.3">
      <c r="A4" s="2">
        <v>1</v>
      </c>
      <c r="B4" s="3" t="s">
        <v>5</v>
      </c>
      <c r="C4" s="2">
        <v>100</v>
      </c>
    </row>
    <row r="5" spans="1:6" x14ac:dyDescent="0.3">
      <c r="A5" s="2">
        <v>6</v>
      </c>
      <c r="B5" s="3" t="s">
        <v>0</v>
      </c>
      <c r="C5" s="2">
        <v>75</v>
      </c>
    </row>
    <row r="6" spans="1:6" x14ac:dyDescent="0.3">
      <c r="A6" s="2">
        <v>4</v>
      </c>
      <c r="B6" s="3" t="s">
        <v>2</v>
      </c>
      <c r="C6" s="2">
        <v>85</v>
      </c>
    </row>
    <row r="7" spans="1:6" x14ac:dyDescent="0.3">
      <c r="A7" s="2">
        <v>2</v>
      </c>
      <c r="B7" s="3" t="s">
        <v>4</v>
      </c>
      <c r="C7" s="2">
        <v>95</v>
      </c>
    </row>
  </sheetData>
  <sortState xmlns:xlrd2="http://schemas.microsoft.com/office/spreadsheetml/2017/richdata2" ref="A2:C7">
    <sortCondition ref="B2:B7"/>
  </sortState>
  <conditionalFormatting sqref="A1:C7">
    <cfRule type="expression" dxfId="1" priority="2">
      <formula>$A1=$E$2</formula>
    </cfRule>
  </conditionalFormatting>
  <conditionalFormatting sqref="A2:C7">
    <cfRule type="expression" dxfId="0" priority="3">
      <formula>$C2&gt;$F$2</formula>
    </cfRule>
  </conditionalFormatting>
  <dataValidations count="1">
    <dataValidation type="list" allowBlank="1" showInputMessage="1" showErrorMessage="1" sqref="E2" xr:uid="{E71F6CA9-9CB0-4E3B-BA18-44CDDBAEFFBF}">
      <formula1>$A$1:$A$7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544E-33BA-4E8F-8B43-6D412B48CE22}">
  <sheetPr>
    <outlinePr summaryBelow="0"/>
  </sheetPr>
  <dimension ref="B1:F14"/>
  <sheetViews>
    <sheetView showGridLines="0" workbookViewId="0"/>
  </sheetViews>
  <sheetFormatPr defaultRowHeight="14.4" outlineLevelRow="1" outlineLevelCol="1" x14ac:dyDescent="0.3"/>
  <cols>
    <col min="3" max="3" width="5.109375" bestFit="1" customWidth="1"/>
    <col min="4" max="6" width="14.44140625" bestFit="1" customWidth="1" outlineLevel="1"/>
  </cols>
  <sheetData>
    <row r="1" spans="2:6" ht="15" thickBot="1" x14ac:dyDescent="0.35"/>
    <row r="2" spans="2:6" ht="15.6" x14ac:dyDescent="0.3">
      <c r="B2" s="11" t="s">
        <v>27</v>
      </c>
      <c r="C2" s="11"/>
      <c r="D2" s="16"/>
      <c r="E2" s="16"/>
      <c r="F2" s="16"/>
    </row>
    <row r="3" spans="2:6" ht="15.6" collapsed="1" x14ac:dyDescent="0.3">
      <c r="B3" s="10"/>
      <c r="C3" s="10"/>
      <c r="D3" s="17" t="s">
        <v>29</v>
      </c>
      <c r="E3" s="17" t="s">
        <v>24</v>
      </c>
      <c r="F3" s="17" t="s">
        <v>26</v>
      </c>
    </row>
    <row r="4" spans="2:6" ht="21.6" hidden="1" outlineLevel="1" x14ac:dyDescent="0.3">
      <c r="B4" s="13"/>
      <c r="C4" s="13"/>
      <c r="D4" s="8"/>
      <c r="E4" s="19" t="s">
        <v>25</v>
      </c>
      <c r="F4" s="19" t="s">
        <v>25</v>
      </c>
    </row>
    <row r="5" spans="2:6" x14ac:dyDescent="0.3">
      <c r="B5" s="14" t="s">
        <v>28</v>
      </c>
      <c r="C5" s="14"/>
      <c r="D5" s="12"/>
      <c r="E5" s="12"/>
      <c r="F5" s="12"/>
    </row>
    <row r="6" spans="2:6" outlineLevel="1" x14ac:dyDescent="0.3">
      <c r="B6" s="13"/>
      <c r="C6" s="13" t="s">
        <v>21</v>
      </c>
      <c r="D6" s="8">
        <v>70</v>
      </c>
      <c r="E6" s="18">
        <v>80</v>
      </c>
      <c r="F6" s="18">
        <v>95</v>
      </c>
    </row>
    <row r="7" spans="2:6" outlineLevel="1" x14ac:dyDescent="0.3">
      <c r="B7" s="13"/>
      <c r="C7" s="13" t="s">
        <v>22</v>
      </c>
      <c r="D7" s="8">
        <v>20</v>
      </c>
      <c r="E7" s="18">
        <v>25</v>
      </c>
      <c r="F7" s="18">
        <v>30</v>
      </c>
    </row>
    <row r="8" spans="2:6" outlineLevel="1" x14ac:dyDescent="0.3">
      <c r="B8" s="13"/>
      <c r="C8" s="13" t="s">
        <v>23</v>
      </c>
      <c r="D8" s="8">
        <v>10</v>
      </c>
      <c r="E8" s="18">
        <v>20</v>
      </c>
      <c r="F8" s="18">
        <v>25</v>
      </c>
    </row>
    <row r="9" spans="2:6" x14ac:dyDescent="0.3">
      <c r="B9" s="14" t="s">
        <v>30</v>
      </c>
      <c r="C9" s="14"/>
      <c r="D9" s="12"/>
      <c r="E9" s="12"/>
      <c r="F9" s="12"/>
    </row>
    <row r="10" spans="2:6" outlineLevel="1" x14ac:dyDescent="0.3">
      <c r="B10" s="13"/>
      <c r="C10" s="13" t="s">
        <v>34</v>
      </c>
      <c r="D10" s="8">
        <v>100</v>
      </c>
      <c r="E10" s="8">
        <v>125</v>
      </c>
      <c r="F10" s="8">
        <v>150</v>
      </c>
    </row>
    <row r="11" spans="2:6" ht="15" outlineLevel="1" thickBot="1" x14ac:dyDescent="0.35">
      <c r="B11" s="15"/>
      <c r="C11" s="15" t="s">
        <v>35</v>
      </c>
      <c r="D11" s="9">
        <v>33.3333333333333</v>
      </c>
      <c r="E11" s="9">
        <v>41.6666666666667</v>
      </c>
      <c r="F11" s="9">
        <v>50</v>
      </c>
    </row>
    <row r="12" spans="2:6" x14ac:dyDescent="0.3">
      <c r="B12" t="s">
        <v>31</v>
      </c>
    </row>
    <row r="13" spans="2:6" x14ac:dyDescent="0.3">
      <c r="B13" t="s">
        <v>32</v>
      </c>
    </row>
    <row r="14" spans="2:6" x14ac:dyDescent="0.3"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D189-EABE-4331-833C-88954D2CC92A}">
  <dimension ref="A1:G7"/>
  <sheetViews>
    <sheetView tabSelected="1" workbookViewId="0">
      <selection activeCell="E11" sqref="E11"/>
    </sheetView>
  </sheetViews>
  <sheetFormatPr defaultRowHeight="14.4" x14ac:dyDescent="0.3"/>
  <cols>
    <col min="1" max="1" width="14.6640625" customWidth="1"/>
    <col min="4" max="4" width="17.6640625" customWidth="1"/>
  </cols>
  <sheetData>
    <row r="1" spans="1:7" x14ac:dyDescent="0.3">
      <c r="A1" s="2" t="s">
        <v>15</v>
      </c>
      <c r="B1" s="3" t="s">
        <v>6</v>
      </c>
      <c r="C1" s="2"/>
      <c r="D1" s="20">
        <f>per</f>
        <v>53.333333333333336</v>
      </c>
      <c r="E1">
        <v>15</v>
      </c>
      <c r="F1">
        <v>20</v>
      </c>
      <c r="G1">
        <v>25</v>
      </c>
    </row>
    <row r="2" spans="1:7" x14ac:dyDescent="0.3">
      <c r="A2" s="2" t="s">
        <v>16</v>
      </c>
      <c r="B2" s="3">
        <v>120</v>
      </c>
      <c r="C2" s="2"/>
      <c r="D2">
        <v>60</v>
      </c>
      <c r="E2" s="21">
        <f t="dataTable" ref="E2:G6" dt2D="1" dtr="1" r1="B3" r2="B2"/>
        <v>31.666666666666664</v>
      </c>
      <c r="F2" s="21">
        <v>33.333333333333329</v>
      </c>
      <c r="G2" s="21">
        <v>35</v>
      </c>
    </row>
    <row r="3" spans="1:7" x14ac:dyDescent="0.3">
      <c r="A3" s="2" t="s">
        <v>17</v>
      </c>
      <c r="B3" s="3">
        <v>20</v>
      </c>
      <c r="C3" s="2"/>
      <c r="D3">
        <v>70</v>
      </c>
      <c r="E3" s="21">
        <v>35</v>
      </c>
      <c r="F3" s="21">
        <v>36.666666666666664</v>
      </c>
      <c r="G3" s="21">
        <v>38.333333333333336</v>
      </c>
    </row>
    <row r="4" spans="1:7" x14ac:dyDescent="0.3">
      <c r="A4" t="s">
        <v>18</v>
      </c>
      <c r="B4" s="3">
        <v>20</v>
      </c>
      <c r="C4" s="2"/>
      <c r="D4">
        <v>80</v>
      </c>
      <c r="E4" s="21">
        <v>38.333333333333336</v>
      </c>
      <c r="F4" s="21">
        <v>40</v>
      </c>
      <c r="G4" s="21">
        <v>41.666666666666671</v>
      </c>
    </row>
    <row r="5" spans="1:7" x14ac:dyDescent="0.3">
      <c r="A5" s="2" t="s">
        <v>19</v>
      </c>
      <c r="B5" s="3">
        <f>SUM(B2:B4)</f>
        <v>160</v>
      </c>
      <c r="C5" s="2"/>
      <c r="D5">
        <v>90</v>
      </c>
      <c r="E5" s="21">
        <v>41.666666666666671</v>
      </c>
      <c r="F5" s="21">
        <v>43.333333333333336</v>
      </c>
      <c r="G5" s="21">
        <v>45</v>
      </c>
    </row>
    <row r="6" spans="1:7" x14ac:dyDescent="0.3">
      <c r="A6" s="2" t="s">
        <v>20</v>
      </c>
      <c r="B6" s="3">
        <f>B5/300*100</f>
        <v>53.333333333333336</v>
      </c>
      <c r="C6" s="2"/>
      <c r="D6">
        <v>100</v>
      </c>
      <c r="E6" s="21">
        <v>45</v>
      </c>
      <c r="F6" s="21">
        <v>46.666666666666664</v>
      </c>
      <c r="G6" s="21">
        <v>48.333333333333336</v>
      </c>
    </row>
    <row r="7" spans="1:7" x14ac:dyDescent="0.3">
      <c r="A7" s="2"/>
      <c r="B7" s="3"/>
      <c r="C7" s="2"/>
    </row>
  </sheetData>
  <scenarios current="1" show="1" sqref="B5:B6">
    <scenario name="Avg performance" locked="1" count="3" user="user" comment="Created by user on 04-09-2026">
      <inputCells r="B2" val="80"/>
      <inputCells r="B3" val="25"/>
      <inputCells r="B4" val="20"/>
    </scenario>
    <scenario name="Best Performance" locked="1" count="3" user="user" comment="Created by user on 04-09-2026">
      <inputCells r="B2" val="95"/>
      <inputCells r="B3" val="30"/>
      <inputCells r="B4" val="25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Sheet3</vt:lpstr>
      <vt:lpstr>Sheet4</vt:lpstr>
      <vt:lpstr>Scenario Summary</vt:lpstr>
      <vt:lpstr>Sheet5</vt:lpstr>
      <vt:lpstr>per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VESASC</dc:creator>
  <cp:lastModifiedBy>karan yadav</cp:lastModifiedBy>
  <dcterms:created xsi:type="dcterms:W3CDTF">2026-07-15T02:05:17Z</dcterms:created>
  <dcterms:modified xsi:type="dcterms:W3CDTF">2026-09-03T19:21:32Z</dcterms:modified>
</cp:coreProperties>
</file>